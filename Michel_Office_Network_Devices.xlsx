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ces" sheetId="1" state="visible" r:id="rId3"/>
    <sheet name="Conne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<sst xmlns="http://schemas.openxmlformats.org/spreadsheetml/2006/main" count="108" uniqueCount="53">
  <si>
    <t xml:space="preserve">Michel's Office Network - Packet Tracer Devices</t>
  </si>
  <si>
    <t xml:space="preserve">Owner: Michel  |  Prepared by NetPilot</t>
  </si>
  <si>
    <t xml:space="preserve">#</t>
  </si>
  <si>
    <t xml:space="preserve">Device name</t>
  </si>
  <si>
    <t xml:space="preserve">Type</t>
  </si>
  <si>
    <t xml:space="preserve">Packet Tracer model</t>
  </si>
  <si>
    <t xml:space="preserve">Placed?</t>
  </si>
  <si>
    <t xml:space="preserve">ISP</t>
  </si>
  <si>
    <t xml:space="preserve">Router</t>
  </si>
  <si>
    <t xml:space="preserve">Cisco 2911</t>
  </si>
  <si>
    <t xml:space="preserve">R1</t>
  </si>
  <si>
    <t xml:space="preserve">SW1</t>
  </si>
  <si>
    <t xml:space="preserve">Switch</t>
  </si>
  <si>
    <t xml:space="preserve">Cisco 2960-24TT</t>
  </si>
  <si>
    <t xml:space="preserve">Michel-PC</t>
  </si>
  <si>
    <t xml:space="preserve">PC</t>
  </si>
  <si>
    <t xml:space="preserve">PC-PT (generic PC)</t>
  </si>
  <si>
    <t xml:space="preserve">Exec-Laptop</t>
  </si>
  <si>
    <t xml:space="preserve">Sales-PC1</t>
  </si>
  <si>
    <t xml:space="preserve">Sales-PC2</t>
  </si>
  <si>
    <t xml:space="preserve">Acct-PC1</t>
  </si>
  <si>
    <t xml:space="preserve">Acct-PC2</t>
  </si>
  <si>
    <t xml:space="preserve">IT-PC1</t>
  </si>
  <si>
    <t xml:space="preserve">IT-PC2</t>
  </si>
  <si>
    <t xml:space="preserve">Summary</t>
  </si>
  <si>
    <t xml:space="preserve">Routers</t>
  </si>
  <si>
    <t xml:space="preserve">Switches</t>
  </si>
  <si>
    <t xml:space="preserve">PCs</t>
  </si>
  <si>
    <t xml:space="preserve">Total devices</t>
  </si>
  <si>
    <t xml:space="preserve">Michel's Office Network - Connections and Cables</t>
  </si>
  <si>
    <t xml:space="preserve">Tip: the lightning-bolt tool in Packet Tracer can choose the cable automatically</t>
  </si>
  <si>
    <t xml:space="preserve">From device</t>
  </si>
  <si>
    <t xml:space="preserve">From port</t>
  </si>
  <si>
    <t xml:space="preserve">To device</t>
  </si>
  <si>
    <t xml:space="preserve">To port</t>
  </si>
  <si>
    <t xml:space="preserve">Cable</t>
  </si>
  <si>
    <t xml:space="preserve">Connected?</t>
  </si>
  <si>
    <t xml:space="preserve">Gi0/0</t>
  </si>
  <si>
    <t xml:space="preserve">Gi0/1</t>
  </si>
  <si>
    <t xml:space="preserve">Copper crossover</t>
  </si>
  <si>
    <t xml:space="preserve">Copper straight-through</t>
  </si>
  <si>
    <t xml:space="preserve">Fa0/1</t>
  </si>
  <si>
    <t xml:space="preserve">FastEthernet0</t>
  </si>
  <si>
    <t xml:space="preserve">Fa0/2</t>
  </si>
  <si>
    <t xml:space="preserve">Fa0/5</t>
  </si>
  <si>
    <t xml:space="preserve">Fa0/6</t>
  </si>
  <si>
    <t xml:space="preserve">Fa0/9</t>
  </si>
  <si>
    <t xml:space="preserve">Fa0/10</t>
  </si>
  <si>
    <t xml:space="preserve">Fa0/13</t>
  </si>
  <si>
    <t xml:space="preserve">Fa0/14</t>
  </si>
  <si>
    <t xml:space="preserve">Straight-through cables</t>
  </si>
  <si>
    <t xml:space="preserve">Crossover cables</t>
  </si>
  <si>
    <t xml:space="preserve">Total connections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</si>
</sst>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304F"/>
      <name val="Arial"/>
      <family val="0"/>
      <charset val="1"/>
    </font>
    <font>
      <i val="true"/>
      <sz val="9"/>
      <color rgb="FF5A66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2304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304F"/>
        <bgColor rgb="FF333333"/>
      </patternFill>
    </fill>
    <fill>
      <patternFill patternType="solid">
        <fgColor rgb="FFEAF2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CE"/>
      <rgbColor rgb="FF808080"/>
      <rgbColor rgb="FF9999FF"/>
      <rgbColor rgb="FF993366"/>
      <rgbColor rgb="FFFFFFCC"/>
      <rgbColor rgb="FFEAF2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672"/>
      <rgbColor rgb="FF969696"/>
      <rgbColor rgb="FF1230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5" t="s">
        <v>7</v>
      </c>
      <c r="C5" s="5" t="s">
        <v>8</v>
      </c>
      <c r="D5" s="5" t="s">
        <v>9</v>
      </c>
      <c r="E5" s="5"/>
    </row>
    <row r="6" customFormat="false" ht="15" hidden="false" customHeight="false" outlineLevel="0" collapsed="false">
      <c r="A6" s="6" t="n">
        <v>2</v>
      </c>
      <c r="B6" s="7" t="s">
        <v>10</v>
      </c>
      <c r="C6" s="7" t="s">
        <v>8</v>
      </c>
      <c r="D6" s="7" t="s">
        <v>9</v>
      </c>
      <c r="E6" s="7"/>
    </row>
    <row r="7" customFormat="false" ht="15" hidden="false" customHeight="false" outlineLevel="0" collapsed="false">
      <c r="A7" s="4" t="n">
        <v>3</v>
      </c>
      <c r="B7" s="5" t="s">
        <v>11</v>
      </c>
      <c r="C7" s="5" t="s">
        <v>12</v>
      </c>
      <c r="D7" s="5" t="s">
        <v>13</v>
      </c>
      <c r="E7" s="5"/>
    </row>
    <row r="8" customFormat="false" ht="15" hidden="false" customHeight="false" outlineLevel="0" collapsed="false">
      <c r="A8" s="6" t="n">
        <v>4</v>
      </c>
      <c r="B8" s="7" t="s">
        <v>14</v>
      </c>
      <c r="C8" s="7" t="s">
        <v>15</v>
      </c>
      <c r="D8" s="7" t="s">
        <v>16</v>
      </c>
      <c r="E8" s="7"/>
    </row>
    <row r="9" customFormat="false" ht="15" hidden="false" customHeight="false" outlineLevel="0" collapsed="false">
      <c r="A9" s="4" t="n">
        <v>5</v>
      </c>
      <c r="B9" s="5" t="s">
        <v>17</v>
      </c>
      <c r="C9" s="5" t="s">
        <v>15</v>
      </c>
      <c r="D9" s="5" t="s">
        <v>16</v>
      </c>
      <c r="E9" s="5"/>
    </row>
    <row r="10" customFormat="false" ht="15" hidden="false" customHeight="false" outlineLevel="0" collapsed="false">
      <c r="A10" s="6" t="n">
        <v>6</v>
      </c>
      <c r="B10" s="7" t="s">
        <v>18</v>
      </c>
      <c r="C10" s="7" t="s">
        <v>15</v>
      </c>
      <c r="D10" s="7" t="s">
        <v>16</v>
      </c>
      <c r="E10" s="7"/>
    </row>
    <row r="11" customFormat="false" ht="15" hidden="false" customHeight="false" outlineLevel="0" collapsed="false">
      <c r="A11" s="4" t="n">
        <v>7</v>
      </c>
      <c r="B11" s="5" t="s">
        <v>19</v>
      </c>
      <c r="C11" s="5" t="s">
        <v>15</v>
      </c>
      <c r="D11" s="5" t="s">
        <v>16</v>
      </c>
      <c r="E11" s="5"/>
    </row>
    <row r="12" customFormat="false" ht="15" hidden="false" customHeight="false" outlineLevel="0" collapsed="false">
      <c r="A12" s="6" t="n">
        <v>8</v>
      </c>
      <c r="B12" s="7" t="s">
        <v>20</v>
      </c>
      <c r="C12" s="7" t="s">
        <v>15</v>
      </c>
      <c r="D12" s="7" t="s">
        <v>16</v>
      </c>
      <c r="E12" s="7"/>
    </row>
    <row r="13" customFormat="false" ht="15" hidden="false" customHeight="false" outlineLevel="0" collapsed="false">
      <c r="A13" s="4" t="n">
        <v>9</v>
      </c>
      <c r="B13" s="5" t="s">
        <v>21</v>
      </c>
      <c r="C13" s="5" t="s">
        <v>15</v>
      </c>
      <c r="D13" s="5" t="s">
        <v>16</v>
      </c>
      <c r="E13" s="5"/>
    </row>
    <row r="14" customFormat="false" ht="15" hidden="false" customHeight="false" outlineLevel="0" collapsed="false">
      <c r="A14" s="6" t="n">
        <v>10</v>
      </c>
      <c r="B14" s="7" t="s">
        <v>22</v>
      </c>
      <c r="C14" s="7" t="s">
        <v>15</v>
      </c>
      <c r="D14" s="7" t="s">
        <v>16</v>
      </c>
      <c r="E14" s="7"/>
    </row>
    <row r="15" customFormat="false" ht="15" hidden="false" customHeight="false" outlineLevel="0" collapsed="false">
      <c r="A15" s="4" t="n">
        <v>11</v>
      </c>
      <c r="B15" s="5" t="s">
        <v>23</v>
      </c>
      <c r="C15" s="5" t="s">
        <v>15</v>
      </c>
      <c r="D15" s="5" t="s">
        <v>16</v>
      </c>
      <c r="E15" s="5"/>
    </row>
    <row r="17" customFormat="false" ht="15" hidden="false" customHeight="false" outlineLevel="0" collapsed="false">
      <c r="B17" s="8" t="s">
        <v>24</v>
      </c>
    </row>
    <row r="18" customFormat="false" ht="15" hidden="false" customHeight="false" outlineLevel="0" collapsed="false">
      <c r="B18" s="9" t="s">
        <v>25</v>
      </c>
      <c r="C18" s="10" t="n">
        <f aca="false">COUNTIF($C$5:$C$15,"Router")</f>
        <v>2</v>
      </c>
    </row>
    <row r="19" customFormat="false" ht="15" hidden="false" customHeight="false" outlineLevel="0" collapsed="false">
      <c r="B19" s="9" t="s">
        <v>26</v>
      </c>
      <c r="C19" s="10" t="n">
        <f aca="false">COUNTIF($C$5:$C$15,"Switch")</f>
        <v>1</v>
      </c>
    </row>
    <row r="20" customFormat="false" ht="15" hidden="false" customHeight="false" outlineLevel="0" collapsed="false">
      <c r="B20" s="9" t="s">
        <v>27</v>
      </c>
      <c r="C20" s="10" t="n">
        <f aca="false">COUNTIF($C$5:$C$15,"PC")</f>
        <v>8</v>
      </c>
    </row>
    <row r="21" customFormat="false" ht="15" hidden="false" customHeight="false" outlineLevel="0" collapsed="false">
      <c r="B21" s="11" t="s">
        <v>28</v>
      </c>
      <c r="C21" s="12" t="n">
        <f aca="false">SUM(C18:C20)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26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3" t="s">
        <v>2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</row>
    <row r="5" customFormat="false" ht="15" hidden="false" customHeight="false" outlineLevel="0" collapsed="false">
      <c r="A5" s="4" t="n">
        <v>1</v>
      </c>
      <c r="B5" s="5" t="s">
        <v>7</v>
      </c>
      <c r="C5" s="5" t="s">
        <v>37</v>
      </c>
      <c r="D5" s="5" t="s">
        <v>10</v>
      </c>
      <c r="E5" s="5" t="s">
        <v>38</v>
      </c>
      <c r="F5" s="5" t="s">
        <v>39</v>
      </c>
      <c r="G5" s="5"/>
    </row>
    <row r="6" customFormat="false" ht="15" hidden="false" customHeight="false" outlineLevel="0" collapsed="false">
      <c r="A6" s="6" t="n">
        <v>2</v>
      </c>
      <c r="B6" s="7" t="s">
        <v>10</v>
      </c>
      <c r="C6" s="7" t="s">
        <v>37</v>
      </c>
      <c r="D6" s="7" t="s">
        <v>11</v>
      </c>
      <c r="E6" s="7" t="s">
        <v>38</v>
      </c>
      <c r="F6" s="7" t="s">
        <v>40</v>
      </c>
      <c r="G6" s="7"/>
    </row>
    <row r="7" customFormat="false" ht="15" hidden="false" customHeight="false" outlineLevel="0" collapsed="false">
      <c r="A7" s="4" t="n">
        <v>3</v>
      </c>
      <c r="B7" s="5" t="s">
        <v>11</v>
      </c>
      <c r="C7" s="5" t="s">
        <v>41</v>
      </c>
      <c r="D7" s="5" t="s">
        <v>14</v>
      </c>
      <c r="E7" s="5" t="s">
        <v>42</v>
      </c>
      <c r="F7" s="5" t="s">
        <v>40</v>
      </c>
      <c r="G7" s="5"/>
    </row>
    <row r="8" customFormat="false" ht="15" hidden="false" customHeight="false" outlineLevel="0" collapsed="false">
      <c r="A8" s="6" t="n">
        <v>4</v>
      </c>
      <c r="B8" s="7" t="s">
        <v>11</v>
      </c>
      <c r="C8" s="7" t="s">
        <v>43</v>
      </c>
      <c r="D8" s="7" t="s">
        <v>17</v>
      </c>
      <c r="E8" s="7" t="s">
        <v>42</v>
      </c>
      <c r="F8" s="7" t="s">
        <v>40</v>
      </c>
      <c r="G8" s="7"/>
    </row>
    <row r="9" customFormat="false" ht="15" hidden="false" customHeight="false" outlineLevel="0" collapsed="false">
      <c r="A9" s="4" t="n">
        <v>5</v>
      </c>
      <c r="B9" s="5" t="s">
        <v>11</v>
      </c>
      <c r="C9" s="5" t="s">
        <v>44</v>
      </c>
      <c r="D9" s="5" t="s">
        <v>18</v>
      </c>
      <c r="E9" s="5" t="s">
        <v>42</v>
      </c>
      <c r="F9" s="5" t="s">
        <v>40</v>
      </c>
      <c r="G9" s="5"/>
    </row>
    <row r="10" customFormat="false" ht="15" hidden="false" customHeight="false" outlineLevel="0" collapsed="false">
      <c r="A10" s="6" t="n">
        <v>6</v>
      </c>
      <c r="B10" s="7" t="s">
        <v>11</v>
      </c>
      <c r="C10" s="7" t="s">
        <v>45</v>
      </c>
      <c r="D10" s="7" t="s">
        <v>19</v>
      </c>
      <c r="E10" s="7" t="s">
        <v>42</v>
      </c>
      <c r="F10" s="7" t="s">
        <v>40</v>
      </c>
      <c r="G10" s="7"/>
    </row>
    <row r="11" customFormat="false" ht="15" hidden="false" customHeight="false" outlineLevel="0" collapsed="false">
      <c r="A11" s="4" t="n">
        <v>7</v>
      </c>
      <c r="B11" s="5" t="s">
        <v>11</v>
      </c>
      <c r="C11" s="5" t="s">
        <v>46</v>
      </c>
      <c r="D11" s="5" t="s">
        <v>20</v>
      </c>
      <c r="E11" s="5" t="s">
        <v>42</v>
      </c>
      <c r="F11" s="5" t="s">
        <v>40</v>
      </c>
      <c r="G11" s="5"/>
    </row>
    <row r="12" customFormat="false" ht="15" hidden="false" customHeight="false" outlineLevel="0" collapsed="false">
      <c r="A12" s="6" t="n">
        <v>8</v>
      </c>
      <c r="B12" s="7" t="s">
        <v>11</v>
      </c>
      <c r="C12" s="7" t="s">
        <v>47</v>
      </c>
      <c r="D12" s="7" t="s">
        <v>21</v>
      </c>
      <c r="E12" s="7" t="s">
        <v>42</v>
      </c>
      <c r="F12" s="7" t="s">
        <v>40</v>
      </c>
      <c r="G12" s="7"/>
    </row>
    <row r="13" customFormat="false" ht="15" hidden="false" customHeight="false" outlineLevel="0" collapsed="false">
      <c r="A13" s="4" t="n">
        <v>9</v>
      </c>
      <c r="B13" s="5" t="s">
        <v>11</v>
      </c>
      <c r="C13" s="5" t="s">
        <v>48</v>
      </c>
      <c r="D13" s="5" t="s">
        <v>22</v>
      </c>
      <c r="E13" s="5" t="s">
        <v>42</v>
      </c>
      <c r="F13" s="5" t="s">
        <v>40</v>
      </c>
      <c r="G13" s="5"/>
    </row>
    <row r="14" customFormat="false" ht="15" hidden="false" customHeight="false" outlineLevel="0" collapsed="false">
      <c r="A14" s="6" t="n">
        <v>10</v>
      </c>
      <c r="B14" s="7" t="s">
        <v>11</v>
      </c>
      <c r="C14" s="7" t="s">
        <v>49</v>
      </c>
      <c r="D14" s="7" t="s">
        <v>23</v>
      </c>
      <c r="E14" s="7" t="s">
        <v>42</v>
      </c>
      <c r="F14" s="7" t="s">
        <v>40</v>
      </c>
      <c r="G14" s="7"/>
    </row>
    <row r="16" customFormat="false" ht="15" hidden="false" customHeight="false" outlineLevel="0" collapsed="false">
      <c r="B16" s="8" t="s">
        <v>24</v>
      </c>
    </row>
    <row r="17" customFormat="false" ht="15" hidden="false" customHeight="false" outlineLevel="0" collapsed="false">
      <c r="B17" s="9" t="s">
        <v>50</v>
      </c>
      <c r="C17" s="10" t="n">
        <f aca="false">COUNTIF($F$5:$F$14,"Copper straight-through")</f>
        <v>9</v>
      </c>
    </row>
    <row r="18" customFormat="false" ht="15" hidden="false" customHeight="false" outlineLevel="0" collapsed="false">
      <c r="B18" s="9" t="s">
        <v>51</v>
      </c>
      <c r="C18" s="10" t="n">
        <f aca="false">COUNTIF($F$5:$F$14,"Copper crossover")</f>
        <v>1</v>
      </c>
    </row>
    <row r="19" customFormat="false" ht="15" hidden="false" customHeight="false" outlineLevel="0" collapsed="false">
      <c r="B19" s="11" t="s">
        <v>52</v>
      </c>
      <c r="C19" s="12" t="n">
        <f aca="false">SUM(C17:C18)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2026-10-08T19:49:27Z</dcterms:created>
  <dc:creator>openpyxl</dc:creator>
  <dc:description/>
  <dc:language>en-US</dc:language>
  <cp:lastModifiedBy/>
  <dcterms:modified xsi:type="dcterms:W3CDTF">2026-10-08T19:49:27Z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